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nsafe Action (TTA)" sheetId="2" state="visible" r:id="rId2"/>
    <sheet xmlns:r="http://schemas.openxmlformats.org/officeDocument/2006/relationships" name="Unsafe Condition (KTA)" sheetId="3" state="visible" r:id="rId3"/>
    <sheet xmlns:r="http://schemas.openxmlformats.org/officeDocument/2006/relationships" name="Summary 4 Bulan (Jun-Sep)" sheetId="4" state="visible" r:id="rId4"/>
    <sheet xmlns:r="http://schemas.openxmlformats.org/officeDocument/2006/relationships" name="Top Rankings (YTD &amp; MT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100.0%"/>
  </numFmts>
  <fonts count="11">
    <font>
      <name val="Calibri"/>
      <family val="2"/>
      <color theme="1"/>
      <sz val="11"/>
      <scheme val="minor"/>
    </font>
    <font>
      <name val="Segoe UI"/>
      <b val="1"/>
      <color rgb="001E4620"/>
      <sz val="16"/>
    </font>
    <font>
      <name val="Segoe UI"/>
      <i val="1"/>
      <color rgb="00555555"/>
      <sz val="10"/>
    </font>
    <font>
      <name val="Segoe UI"/>
      <b val="1"/>
      <color rgb="000E3A1A"/>
      <sz val="11"/>
    </font>
    <font>
      <name val="Segoe UI"/>
      <b val="1"/>
      <color rgb="000E3A1A"/>
      <sz val="12"/>
    </font>
    <font>
      <name val="Segoe UI"/>
      <b val="1"/>
      <color rgb="00FFFFFF"/>
      <sz val="10"/>
    </font>
    <font>
      <name val="Segoe UI"/>
      <color rgb="00111111"/>
      <sz val="10"/>
    </font>
    <font>
      <name val="Segoe UI"/>
      <b val="1"/>
      <color rgb="000E3A1A"/>
      <sz val="10"/>
    </font>
    <font>
      <name val="Segoe UI"/>
      <b val="1"/>
      <color rgb="00B00020"/>
      <sz val="11"/>
    </font>
    <font>
      <name val="Segoe UI"/>
      <b val="1"/>
      <color rgb="001B5E20"/>
      <sz val="11"/>
    </font>
    <font>
      <name val="Segoe UI"/>
      <b val="1"/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007A3D"/>
        <bgColor rgb="00007A3D"/>
      </patternFill>
    </fill>
    <fill>
      <patternFill patternType="solid">
        <fgColor rgb="00F9FBF9"/>
        <bgColor rgb="00F9FBF9"/>
      </patternFill>
    </fill>
    <fill>
      <patternFill patternType="solid">
        <fgColor rgb="00D0E8D7"/>
        <bgColor rgb="00D0E8D7"/>
      </patternFill>
    </fill>
  </fills>
  <borders count="4">
    <border>
      <left/>
      <right/>
      <top/>
      <bottom/>
      <diagonal/>
    </border>
    <border>
      <left style="medium">
        <color rgb="00007A3D"/>
      </left>
      <right style="medium">
        <color rgb="00007A3D"/>
      </right>
      <top style="medium">
        <color rgb="00007A3D"/>
      </top>
      <bottom style="medium">
        <color rgb="00007A3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0E3A1A"/>
      </top>
      <bottom style="double">
        <color rgb="000E3A1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3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" fontId="6" fillId="4" borderId="2" pivotButton="0" quotePrefix="0" xfId="0"/>
    <xf numFmtId="0" fontId="6" fillId="4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3" fontId="7" fillId="5" borderId="3" pivotButton="0" quotePrefix="0" xfId="0"/>
    <xf numFmtId="0" fontId="7" fillId="5" borderId="3" applyAlignment="1" pivotButton="0" quotePrefix="0" xfId="0">
      <alignment horizontal="center" vertical="center"/>
    </xf>
    <xf numFmtId="164" fontId="6" fillId="0" borderId="2" pivotButton="0" quotePrefix="0" xfId="0"/>
    <xf numFmtId="0" fontId="8" fillId="0" borderId="2" applyAlignment="1" pivotButton="0" quotePrefix="0" xfId="0">
      <alignment horizontal="center" vertical="center"/>
    </xf>
    <xf numFmtId="164" fontId="6" fillId="4" borderId="2" pivotButton="0" quotePrefix="0" xfId="0"/>
    <xf numFmtId="0" fontId="9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165" fontId="7" fillId="5" borderId="3" pivotButton="0" quotePrefix="0" xfId="0"/>
    <xf numFmtId="0" fontId="8" fillId="5" borderId="3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3" fontId="7" fillId="5" borderId="0" pivotButton="0" quotePrefix="0" xfId="0"/>
    <xf numFmtId="165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67" customWidth="1" min="2" max="2"/>
    <col width="36" customWidth="1" min="3" max="3"/>
    <col width="12" customWidth="1" min="4" max="4"/>
    <col width="29" customWidth="1" min="5" max="5"/>
    <col width="12" customWidth="1" min="6" max="6"/>
    <col width="17" customWidth="1" min="7" max="7"/>
    <col width="29" customWidth="1" min="8" max="8"/>
    <col width="12" customWidth="1" min="9" max="9"/>
  </cols>
  <sheetData>
    <row r="1"/>
    <row r="2">
      <c r="B2" s="1" t="inlineStr">
        <is>
          <t>SUMMARY HAZARD REPORT: TTA &amp; KTA</t>
        </is>
      </c>
    </row>
    <row r="3">
      <c r="B3" s="2" t="inlineStr">
        <is>
          <t>Analisis Tindakan Tidak Aman (Unsafe Action) &amp; Kondisi Tidak Aman (Unsafe Condition) | Periode: Juni - Agustus 2026</t>
        </is>
      </c>
    </row>
    <row r="4"/>
    <row r="5">
      <c r="B5" s="3" t="inlineStr">
        <is>
          <t>TOTAL TEMUAN HAZARD
23,177 (100%)</t>
        </is>
      </c>
      <c r="C5" s="4" t="n"/>
      <c r="E5" s="3" t="inlineStr">
        <is>
          <t>KONDISI TIDAK AMAN (KTA)
21,434 (92.5%)</t>
        </is>
      </c>
      <c r="F5" s="4" t="n"/>
      <c r="H5" s="3" t="inlineStr">
        <is>
          <t>TINDAKAN TIDAK AMAN (TTA)
1,718 (7.4%)</t>
        </is>
      </c>
      <c r="I5" s="4" t="n"/>
    </row>
    <row r="6">
      <c r="B6" s="4" t="n"/>
      <c r="C6" s="4" t="n"/>
      <c r="E6" s="4" t="n"/>
      <c r="F6" s="4" t="n"/>
      <c r="H6" s="4" t="n"/>
      <c r="I6" s="4" t="n"/>
    </row>
    <row r="7"/>
    <row r="8"/>
    <row r="9">
      <c r="B9" s="5" t="inlineStr">
        <is>
          <t>1. Distribusi dan Komposisi Hazard Per Bulan</t>
        </is>
      </c>
    </row>
    <row r="10"/>
    <row r="11">
      <c r="B11" s="6" t="inlineStr">
        <is>
          <t>Bulan</t>
        </is>
      </c>
      <c r="C11" s="6" t="inlineStr">
        <is>
          <t>Kondisi Tidak Aman (KTA)</t>
        </is>
      </c>
      <c r="D11" s="6" t="inlineStr">
        <is>
          <t>% KTA</t>
        </is>
      </c>
      <c r="E11" s="6" t="inlineStr">
        <is>
          <t>Tindakan Tidak Aman (TTA)</t>
        </is>
      </c>
      <c r="F11" s="6" t="inlineStr">
        <is>
          <t>% TTA</t>
        </is>
      </c>
      <c r="G11" s="6" t="inlineStr">
        <is>
          <t>Total Hazard</t>
        </is>
      </c>
      <c r="H11" s="6" t="inlineStr">
        <is>
          <t>Pertumbuhan MoM</t>
        </is>
      </c>
    </row>
    <row r="12">
      <c r="B12" s="7" t="inlineStr">
        <is>
          <t>Juni 2026</t>
        </is>
      </c>
      <c r="C12" s="8" t="n">
        <v>2022</v>
      </c>
      <c r="D12" s="9" t="inlineStr">
        <is>
          <t>92.8%</t>
        </is>
      </c>
      <c r="E12" s="8" t="n">
        <v>157</v>
      </c>
      <c r="F12" s="9" t="inlineStr">
        <is>
          <t>7.2%</t>
        </is>
      </c>
      <c r="G12" s="8" t="n">
        <v>2179</v>
      </c>
      <c r="H12" s="9" t="inlineStr">
        <is>
          <t>-</t>
        </is>
      </c>
    </row>
    <row r="13">
      <c r="B13" s="10" t="inlineStr">
        <is>
          <t>Juli 2026</t>
        </is>
      </c>
      <c r="C13" s="11" t="n">
        <v>9600</v>
      </c>
      <c r="D13" s="12" t="inlineStr">
        <is>
          <t>92.4%</t>
        </is>
      </c>
      <c r="E13" s="11" t="n">
        <v>774</v>
      </c>
      <c r="F13" s="12" t="inlineStr">
        <is>
          <t>7.4%</t>
        </is>
      </c>
      <c r="G13" s="11" t="n">
        <v>10394</v>
      </c>
      <c r="H13" s="12" t="inlineStr">
        <is>
          <t>+377.0%</t>
        </is>
      </c>
    </row>
    <row r="14">
      <c r="B14" s="7" t="inlineStr">
        <is>
          <t>Agustus 2026</t>
        </is>
      </c>
      <c r="C14" s="8" t="n">
        <v>9821</v>
      </c>
      <c r="D14" s="9" t="inlineStr">
        <is>
          <t>92.5%</t>
        </is>
      </c>
      <c r="E14" s="8" t="n">
        <v>787</v>
      </c>
      <c r="F14" s="9" t="inlineStr">
        <is>
          <t>7.4%</t>
        </is>
      </c>
      <c r="G14" s="8" t="n">
        <v>10613</v>
      </c>
      <c r="H14" s="9" t="inlineStr">
        <is>
          <t>+2.1%</t>
        </is>
      </c>
    </row>
    <row r="15">
      <c r="B15" s="13" t="inlineStr">
        <is>
          <t>TOTAL 3 BULAN</t>
        </is>
      </c>
      <c r="C15" s="14">
        <f>SUM(C12:C14)</f>
        <v/>
      </c>
      <c r="D15" s="15" t="inlineStr">
        <is>
          <t>92.5%</t>
        </is>
      </c>
      <c r="E15" s="14">
        <f>SUM(E12:E14)</f>
        <v/>
      </c>
      <c r="F15" s="15" t="inlineStr">
        <is>
          <t>7.4%</t>
        </is>
      </c>
      <c r="G15" s="14">
        <f>SUM(G12:G14)</f>
        <v/>
      </c>
      <c r="H15" s="15" t="inlineStr">
        <is>
          <t>100.0%</t>
        </is>
      </c>
    </row>
    <row r="16"/>
    <row r="17">
      <c r="B17" s="2" t="inlineStr">
        <is>
          <t>* Catatan: Data September 2026 (Month-to-Date s/d 9 Sept) tercatat 2.846 KTA &amp; 288 TTA (Total: 3.134 temuan). Detail lengkap tersedia pada sheet 'Summary 4 Bulan'.</t>
        </is>
      </c>
    </row>
  </sheetData>
  <mergeCells count="3">
    <mergeCell ref="H5:I6"/>
    <mergeCell ref="E5:F6"/>
    <mergeCell ref="B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40" customWidth="1" min="3" max="3"/>
    <col width="16" customWidth="1" min="4" max="4"/>
    <col width="16" customWidth="1" min="5" max="5"/>
    <col width="16" customWidth="1" min="6" max="6"/>
    <col width="19" customWidth="1" min="7" max="7"/>
    <col width="24" customWidth="1" min="8" max="8"/>
    <col width="26" customWidth="1" min="9" max="9"/>
    <col width="26" customWidth="1" min="10" max="10"/>
    <col width="28" customWidth="1" min="11" max="11"/>
    <col width="25" customWidth="1" min="12" max="12"/>
    <col width="25" customWidth="1" min="13" max="13"/>
  </cols>
  <sheetData>
    <row r="1"/>
    <row r="2">
      <c r="B2" s="1" t="inlineStr">
        <is>
          <t>UNSAFE ACTION (TTA) - TREN &amp; KOMPOSISI 3 BULAN</t>
        </is>
      </c>
    </row>
    <row r="3">
      <c r="B3" s="2" t="inlineStr">
        <is>
          <t>Rincian Jumlah Temuan, Komposisi Persentase, dan Analisis Perubahan Tren Bulanan (MoM)</t>
        </is>
      </c>
    </row>
    <row r="4"/>
    <row r="5" ht="28" customHeight="1">
      <c r="B5" s="6" t="inlineStr">
        <is>
          <t>No</t>
        </is>
      </c>
      <c r="C5" s="6" t="inlineStr">
        <is>
          <t>KATEGORI HAZARD</t>
        </is>
      </c>
      <c r="D5" s="6" t="inlineStr">
        <is>
          <t>Jun</t>
        </is>
      </c>
      <c r="E5" s="6" t="inlineStr">
        <is>
          <t>Jul</t>
        </is>
      </c>
      <c r="F5" s="6" t="inlineStr">
        <is>
          <t>Aug</t>
        </is>
      </c>
      <c r="G5" s="6" t="inlineStr">
        <is>
          <t>Total (3 Bulan)</t>
        </is>
      </c>
      <c r="H5" s="6" t="inlineStr">
        <is>
          <t>% Kontribusi</t>
        </is>
      </c>
      <c r="I5" s="6" t="inlineStr">
        <is>
          <t>Perubahan (Jun ke Jul)</t>
        </is>
      </c>
      <c r="J5" s="6" t="inlineStr">
        <is>
          <t>Perubahan (Jul ke Aug)</t>
        </is>
      </c>
      <c r="K5" s="6" t="inlineStr">
        <is>
          <t>Trend Akhir (Aug vs Jul)</t>
        </is>
      </c>
      <c r="L5" s="6" t="inlineStr">
        <is>
          <t>Status Resiko Dominan</t>
        </is>
      </c>
      <c r="M5" s="6" t="inlineStr">
        <is>
          <t>Area Utama Terbanyak</t>
        </is>
      </c>
    </row>
    <row r="6" ht="20" customHeight="1">
      <c r="B6" s="9" t="n">
        <v>1</v>
      </c>
      <c r="C6" s="7" t="inlineStr">
        <is>
          <t>APD</t>
        </is>
      </c>
      <c r="D6" s="8" t="n">
        <v>2</v>
      </c>
      <c r="E6" s="8" t="n">
        <v>111</v>
      </c>
      <c r="F6" s="8" t="n">
        <v>129</v>
      </c>
      <c r="G6" s="8">
        <f>SUM(D6:F6)</f>
        <v/>
      </c>
      <c r="H6" s="16" t="n">
        <v>0.1408614668218859</v>
      </c>
      <c r="I6" s="9" t="inlineStr">
        <is>
          <t>+109</t>
        </is>
      </c>
      <c r="J6" s="9" t="inlineStr">
        <is>
          <t>+18</t>
        </is>
      </c>
      <c r="K6" s="17" t="inlineStr">
        <is>
          <t>⬆ NAIK</t>
        </is>
      </c>
      <c r="L6" s="9" t="inlineStr">
        <is>
          <t>Sedang/Rendah</t>
        </is>
      </c>
      <c r="M6" s="7" t="inlineStr">
        <is>
          <t>Other Area</t>
        </is>
      </c>
    </row>
    <row r="7" ht="20" customHeight="1">
      <c r="B7" s="12" t="n">
        <v>2</v>
      </c>
      <c r="C7" s="10" t="inlineStr">
        <is>
          <t>Penyimpangan SOP</t>
        </is>
      </c>
      <c r="D7" s="11" t="n">
        <v>16</v>
      </c>
      <c r="E7" s="11" t="n">
        <v>190</v>
      </c>
      <c r="F7" s="11" t="n">
        <v>184</v>
      </c>
      <c r="G7" s="11">
        <f>SUM(D7:F7)</f>
        <v/>
      </c>
      <c r="H7" s="18" t="n">
        <v>0.2270081490104773</v>
      </c>
      <c r="I7" s="12" t="inlineStr">
        <is>
          <t>+174</t>
        </is>
      </c>
      <c r="J7" s="12" t="inlineStr">
        <is>
          <t>-6</t>
        </is>
      </c>
      <c r="K7" s="19" t="inlineStr">
        <is>
          <t>⬇ TURUN</t>
        </is>
      </c>
      <c r="L7" s="12" t="inlineStr">
        <is>
          <t>Tinggi/Kritis</t>
        </is>
      </c>
      <c r="M7" s="10" t="inlineStr">
        <is>
          <t>Mining</t>
        </is>
      </c>
    </row>
    <row r="8" ht="20" customHeight="1">
      <c r="B8" s="9" t="n">
        <v>3</v>
      </c>
      <c r="C8" s="7" t="inlineStr">
        <is>
          <t>Housekeeping / Kebersihan Pribadi</t>
        </is>
      </c>
      <c r="D8" s="8" t="n">
        <v>13</v>
      </c>
      <c r="E8" s="8" t="n">
        <v>51</v>
      </c>
      <c r="F8" s="8" t="n">
        <v>49</v>
      </c>
      <c r="G8" s="8">
        <f>SUM(D8:F8)</f>
        <v/>
      </c>
      <c r="H8" s="16" t="n">
        <v>0.06577415599534342</v>
      </c>
      <c r="I8" s="9" t="inlineStr">
        <is>
          <t>+38</t>
        </is>
      </c>
      <c r="J8" s="9" t="inlineStr">
        <is>
          <t>-2</t>
        </is>
      </c>
      <c r="K8" s="20" t="inlineStr">
        <is>
          <t>⬇ TURUN</t>
        </is>
      </c>
      <c r="L8" s="9" t="inlineStr">
        <is>
          <t>Sedang/Rendah</t>
        </is>
      </c>
      <c r="M8" s="7" t="inlineStr">
        <is>
          <t>Main Support Facility</t>
        </is>
      </c>
    </row>
    <row r="9" ht="20" customHeight="1">
      <c r="B9" s="12" t="n">
        <v>4</v>
      </c>
      <c r="C9" s="10" t="inlineStr">
        <is>
          <t>Kategori lain-lain (Umum)</t>
        </is>
      </c>
      <c r="D9" s="11" t="n">
        <v>68</v>
      </c>
      <c r="E9" s="11" t="n">
        <v>220</v>
      </c>
      <c r="F9" s="11" t="n">
        <v>246</v>
      </c>
      <c r="G9" s="11">
        <f>SUM(D9:F9)</f>
        <v/>
      </c>
      <c r="H9" s="18" t="n">
        <v>0.3108265424912689</v>
      </c>
      <c r="I9" s="12" t="inlineStr">
        <is>
          <t>+152</t>
        </is>
      </c>
      <c r="J9" s="12" t="inlineStr">
        <is>
          <t>+26</t>
        </is>
      </c>
      <c r="K9" s="21" t="inlineStr">
        <is>
          <t>⬆ NAIK</t>
        </is>
      </c>
      <c r="L9" s="12" t="inlineStr">
        <is>
          <t>Tinggi/Kritis</t>
        </is>
      </c>
      <c r="M9" s="10" t="inlineStr">
        <is>
          <t>Mining</t>
        </is>
      </c>
    </row>
    <row r="10" ht="20" customHeight="1">
      <c r="B10" s="9" t="n">
        <v>5</v>
      </c>
      <c r="C10" s="7" t="inlineStr">
        <is>
          <t>Kelayakan / Standard Area Kerja</t>
        </is>
      </c>
      <c r="D10" s="8" t="n">
        <v>9</v>
      </c>
      <c r="E10" s="8" t="n">
        <v>29</v>
      </c>
      <c r="F10" s="8" t="n">
        <v>36</v>
      </c>
      <c r="G10" s="8">
        <f>SUM(D10:F10)</f>
        <v/>
      </c>
      <c r="H10" s="16" t="n">
        <v>0.0430733410942957</v>
      </c>
      <c r="I10" s="9" t="inlineStr">
        <is>
          <t>+20</t>
        </is>
      </c>
      <c r="J10" s="9" t="inlineStr">
        <is>
          <t>+7</t>
        </is>
      </c>
      <c r="K10" s="17" t="inlineStr">
        <is>
          <t>⬆ NAIK</t>
        </is>
      </c>
      <c r="L10" s="9" t="inlineStr">
        <is>
          <t>Tinggi/Kritis</t>
        </is>
      </c>
      <c r="M10" s="7" t="inlineStr">
        <is>
          <t>Mining</t>
        </is>
      </c>
    </row>
    <row r="11" ht="20" customHeight="1">
      <c r="B11" s="12" t="n">
        <v>6</v>
      </c>
      <c r="C11" s="10" t="inlineStr">
        <is>
          <t>Posisi Kerja / Ergonomi</t>
        </is>
      </c>
      <c r="D11" s="11" t="n">
        <v>8</v>
      </c>
      <c r="E11" s="11" t="n">
        <v>44</v>
      </c>
      <c r="F11" s="11" t="n">
        <v>34</v>
      </c>
      <c r="G11" s="11">
        <f>SUM(D11:F11)</f>
        <v/>
      </c>
      <c r="H11" s="18" t="n">
        <v>0.05005820721769499</v>
      </c>
      <c r="I11" s="12" t="inlineStr">
        <is>
          <t>+36</t>
        </is>
      </c>
      <c r="J11" s="12" t="inlineStr">
        <is>
          <t>-10</t>
        </is>
      </c>
      <c r="K11" s="19" t="inlineStr">
        <is>
          <t>⬇ TURUN</t>
        </is>
      </c>
      <c r="L11" s="12" t="inlineStr">
        <is>
          <t>Tinggi/Kritis</t>
        </is>
      </c>
      <c r="M11" s="10" t="inlineStr">
        <is>
          <t>Main Support Facility</t>
        </is>
      </c>
    </row>
    <row r="12" ht="20" customHeight="1">
      <c r="B12" s="9" t="n">
        <v>7</v>
      </c>
      <c r="C12" s="7" t="inlineStr">
        <is>
          <t>Kondisi Pengoperasian di Jalan</t>
        </is>
      </c>
      <c r="D12" s="8" t="n">
        <v>3</v>
      </c>
      <c r="E12" s="8" t="n">
        <v>42</v>
      </c>
      <c r="F12" s="8" t="n">
        <v>29</v>
      </c>
      <c r="G12" s="8">
        <f>SUM(D12:F12)</f>
        <v/>
      </c>
      <c r="H12" s="16" t="n">
        <v>0.0430733410942957</v>
      </c>
      <c r="I12" s="9" t="inlineStr">
        <is>
          <t>+39</t>
        </is>
      </c>
      <c r="J12" s="9" t="inlineStr">
        <is>
          <t>-13</t>
        </is>
      </c>
      <c r="K12" s="20" t="inlineStr">
        <is>
          <t>⬇ TURUN</t>
        </is>
      </c>
      <c r="L12" s="9" t="inlineStr">
        <is>
          <t>Tinggi/Kritis</t>
        </is>
      </c>
      <c r="M12" s="7" t="inlineStr">
        <is>
          <t>Mining</t>
        </is>
      </c>
    </row>
    <row r="13" ht="20" customHeight="1">
      <c r="B13" s="12" t="n">
        <v>8</v>
      </c>
      <c r="C13" s="10" t="inlineStr">
        <is>
          <t>Kepatuhan Rambu &amp; Traffic</t>
        </is>
      </c>
      <c r="D13" s="11" t="n">
        <v>2</v>
      </c>
      <c r="E13" s="11" t="n">
        <v>27</v>
      </c>
      <c r="F13" s="11" t="n">
        <v>30</v>
      </c>
      <c r="G13" s="11">
        <f>SUM(D13:F13)</f>
        <v/>
      </c>
      <c r="H13" s="18" t="n">
        <v>0.03434225844004657</v>
      </c>
      <c r="I13" s="12" t="inlineStr">
        <is>
          <t>+25</t>
        </is>
      </c>
      <c r="J13" s="12" t="inlineStr">
        <is>
          <t>+3</t>
        </is>
      </c>
      <c r="K13" s="21" t="inlineStr">
        <is>
          <t>⬆ NAIK</t>
        </is>
      </c>
      <c r="L13" s="12" t="inlineStr">
        <is>
          <t>Tinggi/Kritis</t>
        </is>
      </c>
      <c r="M13" s="10" t="inlineStr">
        <is>
          <t>Other Area</t>
        </is>
      </c>
    </row>
    <row r="14" ht="20" customHeight="1">
      <c r="B14" s="9" t="n">
        <v>9</v>
      </c>
      <c r="C14" s="7" t="inlineStr">
        <is>
          <t>Material Terkontaminasi / B3</t>
        </is>
      </c>
      <c r="D14" s="8" t="n">
        <v>15</v>
      </c>
      <c r="E14" s="8" t="n">
        <v>19</v>
      </c>
      <c r="F14" s="8" t="n">
        <v>10</v>
      </c>
      <c r="G14" s="8">
        <f>SUM(D14:F14)</f>
        <v/>
      </c>
      <c r="H14" s="16" t="n">
        <v>0.02561117578579743</v>
      </c>
      <c r="I14" s="9" t="inlineStr">
        <is>
          <t>+4</t>
        </is>
      </c>
      <c r="J14" s="9" t="inlineStr">
        <is>
          <t>-9</t>
        </is>
      </c>
      <c r="K14" s="20" t="inlineStr">
        <is>
          <t>⬇ TURUN</t>
        </is>
      </c>
      <c r="L14" s="9" t="inlineStr">
        <is>
          <t>Sedang/Rendah</t>
        </is>
      </c>
      <c r="M14" s="7" t="inlineStr">
        <is>
          <t>Main Support Facility</t>
        </is>
      </c>
    </row>
    <row r="15" ht="20" customHeight="1">
      <c r="B15" s="12" t="n">
        <v>10</v>
      </c>
      <c r="C15" s="10" t="inlineStr">
        <is>
          <t>Salah Penempatan Tools &amp; Peralatan</t>
        </is>
      </c>
      <c r="D15" s="11" t="n">
        <v>8</v>
      </c>
      <c r="E15" s="11" t="n">
        <v>14</v>
      </c>
      <c r="F15" s="11" t="n">
        <v>21</v>
      </c>
      <c r="G15" s="11">
        <f>SUM(D15:F15)</f>
        <v/>
      </c>
      <c r="H15" s="18" t="n">
        <v>0.0250291036088475</v>
      </c>
      <c r="I15" s="12" t="inlineStr">
        <is>
          <t>+6</t>
        </is>
      </c>
      <c r="J15" s="12" t="inlineStr">
        <is>
          <t>+7</t>
        </is>
      </c>
      <c r="K15" s="21" t="inlineStr">
        <is>
          <t>⬆ NAIK</t>
        </is>
      </c>
      <c r="L15" s="12" t="inlineStr">
        <is>
          <t>Sedang/Rendah</t>
        </is>
      </c>
      <c r="M15" s="10" t="inlineStr">
        <is>
          <t>Main Support Facility</t>
        </is>
      </c>
    </row>
    <row r="16" ht="20" customHeight="1">
      <c r="B16" s="9" t="n">
        <v>11</v>
      </c>
      <c r="C16" s="7" t="inlineStr">
        <is>
          <t>Disiplin Kerja / Fatigue / Distraksi</t>
        </is>
      </c>
      <c r="D16" s="8" t="n">
        <v>7</v>
      </c>
      <c r="E16" s="8" t="n">
        <v>17</v>
      </c>
      <c r="F16" s="8" t="n">
        <v>9</v>
      </c>
      <c r="G16" s="8">
        <f>SUM(D16:F16)</f>
        <v/>
      </c>
      <c r="H16" s="16" t="n">
        <v>0.01920838183934808</v>
      </c>
      <c r="I16" s="9" t="inlineStr">
        <is>
          <t>+10</t>
        </is>
      </c>
      <c r="J16" s="9" t="inlineStr">
        <is>
          <t>-8</t>
        </is>
      </c>
      <c r="K16" s="20" t="inlineStr">
        <is>
          <t>⬇ TURUN</t>
        </is>
      </c>
      <c r="L16" s="9" t="inlineStr">
        <is>
          <t>Tinggi/Kritis</t>
        </is>
      </c>
      <c r="M16" s="7" t="inlineStr">
        <is>
          <t>Mining</t>
        </is>
      </c>
    </row>
    <row r="17" ht="20" customHeight="1">
      <c r="B17" s="12" t="n">
        <v>12</v>
      </c>
      <c r="C17" s="10" t="inlineStr">
        <is>
          <t>Penggunaan Alat Keselamatan</t>
        </is>
      </c>
      <c r="D17" s="11" t="n">
        <v>6</v>
      </c>
      <c r="E17" s="11" t="n">
        <v>10</v>
      </c>
      <c r="F17" s="11" t="n">
        <v>10</v>
      </c>
      <c r="G17" s="11">
        <f>SUM(D17:F17)</f>
        <v/>
      </c>
      <c r="H17" s="18" t="n">
        <v>0.01513387660069849</v>
      </c>
      <c r="I17" s="12" t="inlineStr">
        <is>
          <t>+4</t>
        </is>
      </c>
      <c r="J17" s="12" t="inlineStr">
        <is>
          <t>0</t>
        </is>
      </c>
      <c r="K17" s="22" t="inlineStr">
        <is>
          <t>➖ TETAP</t>
        </is>
      </c>
      <c r="L17" s="12" t="inlineStr">
        <is>
          <t>Tinggi/Kritis</t>
        </is>
      </c>
      <c r="M17" s="10" t="inlineStr">
        <is>
          <t>Main Support Facility</t>
        </is>
      </c>
    </row>
    <row r="18" ht="22" customHeight="1">
      <c r="B18" s="15" t="inlineStr"/>
      <c r="C18" s="13" t="inlineStr">
        <is>
          <t>TOTAL TTA</t>
        </is>
      </c>
      <c r="D18" s="14">
        <f>SUM(D6:D17)</f>
        <v/>
      </c>
      <c r="E18" s="14">
        <f>SUM(E6:E17)</f>
        <v/>
      </c>
      <c r="F18" s="14">
        <f>SUM(F6:F17)</f>
        <v/>
      </c>
      <c r="G18" s="14">
        <f>SUM(G6:G17)</f>
        <v/>
      </c>
      <c r="H18" s="23" t="n">
        <v>1</v>
      </c>
      <c r="I18" s="15" t="inlineStr">
        <is>
          <t>+617</t>
        </is>
      </c>
      <c r="J18" s="15" t="inlineStr">
        <is>
          <t>+13</t>
        </is>
      </c>
      <c r="K18" s="24" t="inlineStr">
        <is>
          <t>⬆ NAIK</t>
        </is>
      </c>
      <c r="L18" s="15" t="inlineStr">
        <is>
          <t>-</t>
        </is>
      </c>
      <c r="M18" s="13" t="inlineStr">
        <is>
          <t>ALL AREAS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41" customWidth="1" min="3" max="3"/>
    <col width="16" customWidth="1" min="4" max="4"/>
    <col width="16" customWidth="1" min="5" max="5"/>
    <col width="16" customWidth="1" min="6" max="6"/>
    <col width="19" customWidth="1" min="7" max="7"/>
    <col width="24" customWidth="1" min="8" max="8"/>
    <col width="26" customWidth="1" min="9" max="9"/>
    <col width="26" customWidth="1" min="10" max="10"/>
    <col width="28" customWidth="1" min="11" max="11"/>
    <col width="25" customWidth="1" min="12" max="12"/>
    <col width="31" customWidth="1" min="13" max="13"/>
  </cols>
  <sheetData>
    <row r="1"/>
    <row r="2">
      <c r="B2" s="1" t="inlineStr">
        <is>
          <t>UNSAFE CONDITION (KTA) - TREN &amp; KOMPOSISI 3 BULAN</t>
        </is>
      </c>
    </row>
    <row r="3">
      <c r="B3" s="2" t="inlineStr">
        <is>
          <t>Rincian Jumlah Temuan, Komposisi Persentase, dan Analisis Perubahan Tren Bulanan (MoM)</t>
        </is>
      </c>
    </row>
    <row r="4"/>
    <row r="5" ht="28" customHeight="1">
      <c r="B5" s="6" t="inlineStr">
        <is>
          <t>No</t>
        </is>
      </c>
      <c r="C5" s="6" t="inlineStr">
        <is>
          <t>KATEGORI HAZARD</t>
        </is>
      </c>
      <c r="D5" s="6" t="inlineStr">
        <is>
          <t>Jun</t>
        </is>
      </c>
      <c r="E5" s="6" t="inlineStr">
        <is>
          <t>Jul</t>
        </is>
      </c>
      <c r="F5" s="6" t="inlineStr">
        <is>
          <t>Aug</t>
        </is>
      </c>
      <c r="G5" s="6" t="inlineStr">
        <is>
          <t>Total (3 Bulan)</t>
        </is>
      </c>
      <c r="H5" s="6" t="inlineStr">
        <is>
          <t>% Kontribusi</t>
        </is>
      </c>
      <c r="I5" s="6" t="inlineStr">
        <is>
          <t>Perubahan (Jun ke Jul)</t>
        </is>
      </c>
      <c r="J5" s="6" t="inlineStr">
        <is>
          <t>Perubahan (Jul ke Aug)</t>
        </is>
      </c>
      <c r="K5" s="6" t="inlineStr">
        <is>
          <t>Trend Akhir (Aug vs Jul)</t>
        </is>
      </c>
      <c r="L5" s="6" t="inlineStr">
        <is>
          <t>Status Resiko Dominan</t>
        </is>
      </c>
      <c r="M5" s="6" t="inlineStr">
        <is>
          <t>Area Utama Terbanyak</t>
        </is>
      </c>
    </row>
    <row r="6" ht="20" customHeight="1">
      <c r="B6" s="9" t="n">
        <v>1</v>
      </c>
      <c r="C6" s="7" t="inlineStr">
        <is>
          <t>Kondisi Jalan</t>
        </is>
      </c>
      <c r="D6" s="8" t="n">
        <v>287</v>
      </c>
      <c r="E6" s="8" t="n">
        <v>3083</v>
      </c>
      <c r="F6" s="8" t="n">
        <v>2665</v>
      </c>
      <c r="G6" s="8">
        <f>SUM(D6:F6)</f>
        <v/>
      </c>
      <c r="H6" s="16" t="n">
        <v>0.281562004292246</v>
      </c>
      <c r="I6" s="9" t="inlineStr">
        <is>
          <t>+2,796</t>
        </is>
      </c>
      <c r="J6" s="9" t="inlineStr">
        <is>
          <t>-418</t>
        </is>
      </c>
      <c r="K6" s="20" t="inlineStr">
        <is>
          <t>⬇ TURUN</t>
        </is>
      </c>
      <c r="L6" s="9" t="inlineStr">
        <is>
          <t>Sedang/Rendah</t>
        </is>
      </c>
      <c r="M6" s="7" t="inlineStr">
        <is>
          <t>Mining</t>
        </is>
      </c>
    </row>
    <row r="7" ht="20" customHeight="1">
      <c r="B7" s="12" t="n">
        <v>2</v>
      </c>
      <c r="C7" s="10" t="inlineStr">
        <is>
          <t>Housekeeping &amp; 5R</t>
        </is>
      </c>
      <c r="D7" s="11" t="n">
        <v>189</v>
      </c>
      <c r="E7" s="11" t="n">
        <v>760</v>
      </c>
      <c r="F7" s="11" t="n">
        <v>852</v>
      </c>
      <c r="G7" s="11">
        <f>SUM(D7:F7)</f>
        <v/>
      </c>
      <c r="H7" s="18" t="n">
        <v>0.08402538023700662</v>
      </c>
      <c r="I7" s="12" t="inlineStr">
        <is>
          <t>+571</t>
        </is>
      </c>
      <c r="J7" s="12" t="inlineStr">
        <is>
          <t>+92</t>
        </is>
      </c>
      <c r="K7" s="21" t="inlineStr">
        <is>
          <t>⬆ NAIK</t>
        </is>
      </c>
      <c r="L7" s="12" t="inlineStr">
        <is>
          <t>Sedang/Rendah</t>
        </is>
      </c>
      <c r="M7" s="10" t="inlineStr">
        <is>
          <t>MEGAWORKHOP</t>
        </is>
      </c>
    </row>
    <row r="8" ht="20" customHeight="1">
      <c r="B8" s="9" t="n">
        <v>3</v>
      </c>
      <c r="C8" s="7" t="inlineStr">
        <is>
          <t>Debu &amp; Jarak Pandang</t>
        </is>
      </c>
      <c r="D8" s="8" t="n">
        <v>133</v>
      </c>
      <c r="E8" s="8" t="n">
        <v>378</v>
      </c>
      <c r="F8" s="8" t="n">
        <v>919</v>
      </c>
      <c r="G8" s="8">
        <f>SUM(D8:F8)</f>
        <v/>
      </c>
      <c r="H8" s="16" t="n">
        <v>0.06671643183726789</v>
      </c>
      <c r="I8" s="9" t="inlineStr">
        <is>
          <t>+245</t>
        </is>
      </c>
      <c r="J8" s="9" t="inlineStr">
        <is>
          <t>+541</t>
        </is>
      </c>
      <c r="K8" s="17" t="inlineStr">
        <is>
          <t>⬆ NAIK</t>
        </is>
      </c>
      <c r="L8" s="9" t="inlineStr">
        <is>
          <t>Tinggi/Kritis</t>
        </is>
      </c>
      <c r="M8" s="7" t="inlineStr">
        <is>
          <t>Mining</t>
        </is>
      </c>
    </row>
    <row r="9" ht="20" customHeight="1">
      <c r="B9" s="12" t="n">
        <v>4</v>
      </c>
      <c r="C9" s="10" t="inlineStr">
        <is>
          <t>Rambu &amp; Traffic</t>
        </is>
      </c>
      <c r="D9" s="11" t="n">
        <v>163</v>
      </c>
      <c r="E9" s="11" t="n">
        <v>926</v>
      </c>
      <c r="F9" s="11" t="n">
        <v>863</v>
      </c>
      <c r="G9" s="11">
        <f>SUM(D9:F9)</f>
        <v/>
      </c>
      <c r="H9" s="18" t="n">
        <v>0.0910702622002426</v>
      </c>
      <c r="I9" s="12" t="inlineStr">
        <is>
          <t>+763</t>
        </is>
      </c>
      <c r="J9" s="12" t="inlineStr">
        <is>
          <t>-63</t>
        </is>
      </c>
      <c r="K9" s="19" t="inlineStr">
        <is>
          <t>⬇ TURUN</t>
        </is>
      </c>
      <c r="L9" s="12" t="inlineStr">
        <is>
          <t>Sedang/Rendah</t>
        </is>
      </c>
      <c r="M9" s="10" t="inlineStr">
        <is>
          <t>Mining</t>
        </is>
      </c>
    </row>
    <row r="10" ht="20" customHeight="1">
      <c r="B10" s="9" t="n">
        <v>5</v>
      </c>
      <c r="C10" s="7" t="inlineStr">
        <is>
          <t>Kondisi Unit &amp; P2H</t>
        </is>
      </c>
      <c r="D10" s="8" t="n">
        <v>168</v>
      </c>
      <c r="E10" s="8" t="n">
        <v>911</v>
      </c>
      <c r="F10" s="8" t="n">
        <v>1037</v>
      </c>
      <c r="G10" s="8">
        <f>SUM(D10:F10)</f>
        <v/>
      </c>
      <c r="H10" s="16" t="n">
        <v>0.09872165718018103</v>
      </c>
      <c r="I10" s="9" t="inlineStr">
        <is>
          <t>+743</t>
        </is>
      </c>
      <c r="J10" s="9" t="inlineStr">
        <is>
          <t>+126</t>
        </is>
      </c>
      <c r="K10" s="17" t="inlineStr">
        <is>
          <t>⬆ NAIK</t>
        </is>
      </c>
      <c r="L10" s="9" t="inlineStr">
        <is>
          <t>Sedang/Rendah</t>
        </is>
      </c>
      <c r="M10" s="7" t="inlineStr">
        <is>
          <t>Main Support Facility</t>
        </is>
      </c>
    </row>
    <row r="11" ht="20" customHeight="1">
      <c r="B11" s="12" t="n">
        <v>6</v>
      </c>
      <c r="C11" s="10" t="inlineStr">
        <is>
          <t>Kelayakan Area Kerja (Front/Disposal)</t>
        </is>
      </c>
      <c r="D11" s="11" t="n">
        <v>293</v>
      </c>
      <c r="E11" s="11" t="n">
        <v>762</v>
      </c>
      <c r="F11" s="11" t="n">
        <v>653</v>
      </c>
      <c r="G11" s="11">
        <f>SUM(D11:F11)</f>
        <v/>
      </c>
      <c r="H11" s="18" t="n">
        <v>0.07968647942521227</v>
      </c>
      <c r="I11" s="12" t="inlineStr">
        <is>
          <t>+469</t>
        </is>
      </c>
      <c r="J11" s="12" t="inlineStr">
        <is>
          <t>-109</t>
        </is>
      </c>
      <c r="K11" s="19" t="inlineStr">
        <is>
          <t>⬇ TURUN</t>
        </is>
      </c>
      <c r="L11" s="12" t="inlineStr">
        <is>
          <t>Tinggi/Kritis</t>
        </is>
      </c>
      <c r="M11" s="10" t="inlineStr">
        <is>
          <t>Mining</t>
        </is>
      </c>
    </row>
    <row r="12" ht="20" customHeight="1">
      <c r="B12" s="9" t="n">
        <v>7</v>
      </c>
      <c r="C12" s="7" t="inlineStr">
        <is>
          <t>Kategori lain-lain (Umum)</t>
        </is>
      </c>
      <c r="D12" s="8" t="n">
        <v>601</v>
      </c>
      <c r="E12" s="8" t="n">
        <v>2109</v>
      </c>
      <c r="F12" s="8" t="n">
        <v>2164</v>
      </c>
      <c r="G12" s="8">
        <f>SUM(D12:F12)</f>
        <v/>
      </c>
      <c r="H12" s="16" t="n">
        <v>0.2273957264159746</v>
      </c>
      <c r="I12" s="9" t="inlineStr">
        <is>
          <t>+1,508</t>
        </is>
      </c>
      <c r="J12" s="9" t="inlineStr">
        <is>
          <t>+55</t>
        </is>
      </c>
      <c r="K12" s="17" t="inlineStr">
        <is>
          <t>⬆ NAIK</t>
        </is>
      </c>
      <c r="L12" s="9" t="inlineStr">
        <is>
          <t>Sedang/Rendah</t>
        </is>
      </c>
      <c r="M12" s="7" t="inlineStr">
        <is>
          <t>Mining</t>
        </is>
      </c>
    </row>
    <row r="13" ht="20" customHeight="1">
      <c r="B13" s="12" t="n">
        <v>8</v>
      </c>
      <c r="C13" s="10" t="inlineStr">
        <is>
          <t>Kelistrikan / Instalasi Elektrikal</t>
        </is>
      </c>
      <c r="D13" s="11" t="n">
        <v>25</v>
      </c>
      <c r="E13" s="11" t="n">
        <v>274</v>
      </c>
      <c r="F13" s="11" t="n">
        <v>234</v>
      </c>
      <c r="G13" s="11">
        <f>SUM(D13:F13)</f>
        <v/>
      </c>
      <c r="H13" s="18" t="n">
        <v>0.02486703368479985</v>
      </c>
      <c r="I13" s="12" t="inlineStr">
        <is>
          <t>+249</t>
        </is>
      </c>
      <c r="J13" s="12" t="inlineStr">
        <is>
          <t>-40</t>
        </is>
      </c>
      <c r="K13" s="19" t="inlineStr">
        <is>
          <t>⬇ TURUN</t>
        </is>
      </c>
      <c r="L13" s="12" t="inlineStr">
        <is>
          <t>Sedang/Rendah</t>
        </is>
      </c>
      <c r="M13" s="10" t="inlineStr">
        <is>
          <t>MAIN OFFICE MINING</t>
        </is>
      </c>
    </row>
    <row r="14" ht="20" customHeight="1">
      <c r="B14" s="9" t="n">
        <v>9</v>
      </c>
      <c r="C14" s="7" t="inlineStr">
        <is>
          <t>Ceceran B3 &amp; Lingkungan</t>
        </is>
      </c>
      <c r="D14" s="8" t="n">
        <v>73</v>
      </c>
      <c r="E14" s="8" t="n">
        <v>205</v>
      </c>
      <c r="F14" s="8" t="n">
        <v>211</v>
      </c>
      <c r="G14" s="8">
        <f>SUM(D14:F14)</f>
        <v/>
      </c>
      <c r="H14" s="16" t="n">
        <v>0.0228142203974993</v>
      </c>
      <c r="I14" s="9" t="inlineStr">
        <is>
          <t>+132</t>
        </is>
      </c>
      <c r="J14" s="9" t="inlineStr">
        <is>
          <t>+6</t>
        </is>
      </c>
      <c r="K14" s="17" t="inlineStr">
        <is>
          <t>⬆ NAIK</t>
        </is>
      </c>
      <c r="L14" s="9" t="inlineStr">
        <is>
          <t>Sedang/Rendah</t>
        </is>
      </c>
      <c r="M14" s="7" t="inlineStr">
        <is>
          <t>Main Support Facility</t>
        </is>
      </c>
    </row>
    <row r="15" ht="20" customHeight="1">
      <c r="B15" s="12" t="n">
        <v>10</v>
      </c>
      <c r="C15" s="10" t="inlineStr">
        <is>
          <t>Objek / Benda Tidak Aman</t>
        </is>
      </c>
      <c r="D15" s="11" t="n">
        <v>88</v>
      </c>
      <c r="E15" s="11" t="n">
        <v>125</v>
      </c>
      <c r="F15" s="11" t="n">
        <v>147</v>
      </c>
      <c r="G15" s="11">
        <f>SUM(D15:F15)</f>
        <v/>
      </c>
      <c r="H15" s="18" t="n">
        <v>0.0167957450779136</v>
      </c>
      <c r="I15" s="12" t="inlineStr">
        <is>
          <t>+37</t>
        </is>
      </c>
      <c r="J15" s="12" t="inlineStr">
        <is>
          <t>+22</t>
        </is>
      </c>
      <c r="K15" s="21" t="inlineStr">
        <is>
          <t>⬆ NAIK</t>
        </is>
      </c>
      <c r="L15" s="12" t="inlineStr">
        <is>
          <t>Tinggi/Kritis</t>
        </is>
      </c>
      <c r="M15" s="10" t="inlineStr">
        <is>
          <t>Main Support Facility</t>
        </is>
      </c>
    </row>
    <row r="16" ht="20" customHeight="1">
      <c r="B16" s="9" t="n">
        <v>11</v>
      </c>
      <c r="C16" s="7" t="inlineStr">
        <is>
          <t>Batubara Terbakar</t>
        </is>
      </c>
      <c r="D16" s="8" t="n">
        <v>0</v>
      </c>
      <c r="E16" s="8" t="n">
        <v>60</v>
      </c>
      <c r="F16" s="8" t="n">
        <v>76</v>
      </c>
      <c r="G16" s="8">
        <f>SUM(D16:F16)</f>
        <v/>
      </c>
      <c r="H16" s="16" t="n">
        <v>0.006345059251656248</v>
      </c>
      <c r="I16" s="9" t="inlineStr">
        <is>
          <t>+60</t>
        </is>
      </c>
      <c r="J16" s="9" t="inlineStr">
        <is>
          <t>+16</t>
        </is>
      </c>
      <c r="K16" s="17" t="inlineStr">
        <is>
          <t>⬆ NAIK</t>
        </is>
      </c>
      <c r="L16" s="9" t="inlineStr">
        <is>
          <t>Sedang/Rendah</t>
        </is>
      </c>
      <c r="M16" s="7" t="inlineStr">
        <is>
          <t>STOCKPILE JO/JETTY PORT GAM</t>
        </is>
      </c>
    </row>
    <row r="17" ht="22" customHeight="1">
      <c r="B17" s="15" t="inlineStr"/>
      <c r="C17" s="13" t="inlineStr">
        <is>
          <t>TOTAL KTA</t>
        </is>
      </c>
      <c r="D17" s="14">
        <f>SUM(D6:D16)</f>
        <v/>
      </c>
      <c r="E17" s="14">
        <f>SUM(E6:E16)</f>
        <v/>
      </c>
      <c r="F17" s="14">
        <f>SUM(F6:F16)</f>
        <v/>
      </c>
      <c r="G17" s="14">
        <f>SUM(G6:G16)</f>
        <v/>
      </c>
      <c r="H17" s="23" t="n">
        <v>1</v>
      </c>
      <c r="I17" s="15" t="inlineStr">
        <is>
          <t>+7,573</t>
        </is>
      </c>
      <c r="J17" s="15" t="inlineStr">
        <is>
          <t>+228</t>
        </is>
      </c>
      <c r="K17" s="24" t="inlineStr">
        <is>
          <t>⬆ NAIK</t>
        </is>
      </c>
      <c r="L17" s="15" t="inlineStr">
        <is>
          <t>-</t>
        </is>
      </c>
      <c r="M17" s="13" t="inlineStr">
        <is>
          <t>ALL AREAS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9" customWidth="1" min="2" max="2"/>
    <col width="41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4" customWidth="1" min="9" max="9"/>
    <col width="28" customWidth="1" min="10" max="10"/>
  </cols>
  <sheetData>
    <row r="1"/>
    <row r="2">
      <c r="B2" s="1" t="inlineStr">
        <is>
          <t>RINGKASAN HAZARD REPORT 4 BULAN (JUNI - SEPTEMBER 2026)</t>
        </is>
      </c>
    </row>
    <row r="3">
      <c r="B3" s="2" t="inlineStr">
        <is>
          <t>Tabel Perbandingan Lengkap 4 Bulan untuk Unsafe Action &amp; Unsafe Condition (*September Month-to-Date)</t>
        </is>
      </c>
    </row>
    <row r="4"/>
    <row r="5">
      <c r="B5" s="5" t="inlineStr">
        <is>
          <t>A. Unsafe Action (TTA) - 4 Bulan</t>
        </is>
      </c>
    </row>
    <row r="6">
      <c r="B6" s="6" t="inlineStr">
        <is>
          <t>No</t>
        </is>
      </c>
      <c r="C6" s="6" t="inlineStr">
        <is>
          <t>Kategori Hazard</t>
        </is>
      </c>
      <c r="D6" s="6" t="inlineStr">
        <is>
          <t>Jun 2026</t>
        </is>
      </c>
      <c r="E6" s="6" t="inlineStr">
        <is>
          <t>Jul 2026</t>
        </is>
      </c>
      <c r="F6" s="6" t="inlineStr">
        <is>
          <t>Agu 2026</t>
        </is>
      </c>
      <c r="G6" s="6" t="inlineStr">
        <is>
          <t>Sep 2026*</t>
        </is>
      </c>
      <c r="H6" s="6" t="inlineStr">
        <is>
          <t>Total 4 Bulan</t>
        </is>
      </c>
      <c r="I6" s="6" t="inlineStr">
        <is>
          <t>% Kontribusi</t>
        </is>
      </c>
      <c r="J6" s="6" t="inlineStr">
        <is>
          <t>Tren Terakhir (Agu-&gt;Sep)</t>
        </is>
      </c>
    </row>
    <row r="7">
      <c r="B7" s="12" t="n">
        <v>1</v>
      </c>
      <c r="C7" s="10" t="inlineStr">
        <is>
          <t>Kategori lain-lain (Umum)</t>
        </is>
      </c>
      <c r="D7" s="11" t="n">
        <v>68</v>
      </c>
      <c r="E7" s="11" t="n">
        <v>220</v>
      </c>
      <c r="F7" s="11" t="n">
        <v>246</v>
      </c>
      <c r="G7" s="11" t="n">
        <v>96</v>
      </c>
      <c r="H7" s="11">
        <f>SUM(D7:G7)</f>
        <v/>
      </c>
      <c r="I7" s="18" t="n">
        <v>0.3139013452914798</v>
      </c>
      <c r="J7" s="12" t="inlineStr">
        <is>
          <t>96 (MTD)</t>
        </is>
      </c>
    </row>
    <row r="8">
      <c r="B8" s="9" t="n">
        <v>2</v>
      </c>
      <c r="C8" s="7" t="inlineStr">
        <is>
          <t>Penyimpangan SOP</t>
        </is>
      </c>
      <c r="D8" s="8" t="n">
        <v>16</v>
      </c>
      <c r="E8" s="8" t="n">
        <v>190</v>
      </c>
      <c r="F8" s="8" t="n">
        <v>184</v>
      </c>
      <c r="G8" s="8" t="n">
        <v>51</v>
      </c>
      <c r="H8" s="8">
        <f>SUM(D8:G8)</f>
        <v/>
      </c>
      <c r="I8" s="16" t="n">
        <v>0.2197309417040359</v>
      </c>
      <c r="J8" s="9" t="inlineStr">
        <is>
          <t>51 (MTD)</t>
        </is>
      </c>
    </row>
    <row r="9">
      <c r="B9" s="12" t="n">
        <v>3</v>
      </c>
      <c r="C9" s="10" t="inlineStr">
        <is>
          <t>APD</t>
        </is>
      </c>
      <c r="D9" s="11" t="n">
        <v>2</v>
      </c>
      <c r="E9" s="11" t="n">
        <v>111</v>
      </c>
      <c r="F9" s="11" t="n">
        <v>129</v>
      </c>
      <c r="G9" s="11" t="n">
        <v>44</v>
      </c>
      <c r="H9" s="11">
        <f>SUM(D9:G9)</f>
        <v/>
      </c>
      <c r="I9" s="18" t="n">
        <v>0.1425012456402591</v>
      </c>
      <c r="J9" s="12" t="inlineStr">
        <is>
          <t>44 (MTD)</t>
        </is>
      </c>
    </row>
    <row r="10">
      <c r="B10" s="9" t="n">
        <v>4</v>
      </c>
      <c r="C10" s="7" t="inlineStr">
        <is>
          <t>Housekeeping / Kebersihan Pribadi</t>
        </is>
      </c>
      <c r="D10" s="8" t="n">
        <v>13</v>
      </c>
      <c r="E10" s="8" t="n">
        <v>51</v>
      </c>
      <c r="F10" s="8" t="n">
        <v>49</v>
      </c>
      <c r="G10" s="8" t="n">
        <v>30</v>
      </c>
      <c r="H10" s="8">
        <f>SUM(D10:G10)</f>
        <v/>
      </c>
      <c r="I10" s="16" t="n">
        <v>0.07125062282012955</v>
      </c>
      <c r="J10" s="9" t="inlineStr">
        <is>
          <t>30 (MTD)</t>
        </is>
      </c>
    </row>
    <row r="11">
      <c r="B11" s="12" t="n">
        <v>5</v>
      </c>
      <c r="C11" s="10" t="inlineStr">
        <is>
          <t>Posisi Kerja / Ergonomi</t>
        </is>
      </c>
      <c r="D11" s="11" t="n">
        <v>8</v>
      </c>
      <c r="E11" s="11" t="n">
        <v>44</v>
      </c>
      <c r="F11" s="11" t="n">
        <v>34</v>
      </c>
      <c r="G11" s="11" t="n">
        <v>5</v>
      </c>
      <c r="H11" s="11">
        <f>SUM(D11:G11)</f>
        <v/>
      </c>
      <c r="I11" s="18" t="n">
        <v>0.04534130543099153</v>
      </c>
      <c r="J11" s="12" t="inlineStr">
        <is>
          <t>5 (MTD)</t>
        </is>
      </c>
    </row>
    <row r="12">
      <c r="B12" s="9" t="n">
        <v>6</v>
      </c>
      <c r="C12" s="7" t="inlineStr">
        <is>
          <t>Kelayakan / Standard Area Kerja</t>
        </is>
      </c>
      <c r="D12" s="8" t="n">
        <v>9</v>
      </c>
      <c r="E12" s="8" t="n">
        <v>29</v>
      </c>
      <c r="F12" s="8" t="n">
        <v>36</v>
      </c>
      <c r="G12" s="8" t="n">
        <v>13</v>
      </c>
      <c r="H12" s="8">
        <f>SUM(D12:G12)</f>
        <v/>
      </c>
      <c r="I12" s="16" t="n">
        <v>0.04334828101644245</v>
      </c>
      <c r="J12" s="9" t="inlineStr">
        <is>
          <t>13 (MTD)</t>
        </is>
      </c>
    </row>
    <row r="13">
      <c r="B13" s="12" t="n">
        <v>7</v>
      </c>
      <c r="C13" s="10" t="inlineStr">
        <is>
          <t>Kondisi Pengoperasian di Jalan</t>
        </is>
      </c>
      <c r="D13" s="11" t="n">
        <v>3</v>
      </c>
      <c r="E13" s="11" t="n">
        <v>42</v>
      </c>
      <c r="F13" s="11" t="n">
        <v>29</v>
      </c>
      <c r="G13" s="11" t="n">
        <v>12</v>
      </c>
      <c r="H13" s="11">
        <f>SUM(D13:G13)</f>
        <v/>
      </c>
      <c r="I13" s="18" t="n">
        <v>0.04285002491280518</v>
      </c>
      <c r="J13" s="12" t="inlineStr">
        <is>
          <t>12 (MTD)</t>
        </is>
      </c>
    </row>
    <row r="14">
      <c r="B14" s="9" t="n">
        <v>8</v>
      </c>
      <c r="C14" s="7" t="inlineStr">
        <is>
          <t>Kepatuhan Rambu &amp; Traffic</t>
        </is>
      </c>
      <c r="D14" s="8" t="n">
        <v>2</v>
      </c>
      <c r="E14" s="8" t="n">
        <v>27</v>
      </c>
      <c r="F14" s="8" t="n">
        <v>30</v>
      </c>
      <c r="G14" s="8" t="n">
        <v>4</v>
      </c>
      <c r="H14" s="8">
        <f>SUM(D14:G14)</f>
        <v/>
      </c>
      <c r="I14" s="16" t="n">
        <v>0.03139013452914798</v>
      </c>
      <c r="J14" s="9" t="inlineStr">
        <is>
          <t>4 (MTD)</t>
        </is>
      </c>
    </row>
    <row r="15">
      <c r="B15" s="12" t="n">
        <v>9</v>
      </c>
      <c r="C15" s="10" t="inlineStr">
        <is>
          <t>Material Terkontaminasi / B3</t>
        </is>
      </c>
      <c r="D15" s="11" t="n">
        <v>15</v>
      </c>
      <c r="E15" s="11" t="n">
        <v>19</v>
      </c>
      <c r="F15" s="11" t="n">
        <v>10</v>
      </c>
      <c r="G15" s="11" t="n">
        <v>14</v>
      </c>
      <c r="H15" s="11">
        <f>SUM(D15:G15)</f>
        <v/>
      </c>
      <c r="I15" s="18" t="n">
        <v>0.02889885401096164</v>
      </c>
      <c r="J15" s="12" t="inlineStr">
        <is>
          <t>14 (MTD)</t>
        </is>
      </c>
    </row>
    <row r="16">
      <c r="B16" s="9" t="n">
        <v>10</v>
      </c>
      <c r="C16" s="7" t="inlineStr">
        <is>
          <t>Salah Penempatan Tools &amp; Peralatan</t>
        </is>
      </c>
      <c r="D16" s="8" t="n">
        <v>8</v>
      </c>
      <c r="E16" s="8" t="n">
        <v>14</v>
      </c>
      <c r="F16" s="8" t="n">
        <v>21</v>
      </c>
      <c r="G16" s="8" t="n">
        <v>8</v>
      </c>
      <c r="H16" s="8">
        <f>SUM(D16:G16)</f>
        <v/>
      </c>
      <c r="I16" s="16" t="n">
        <v>0.02541106128550075</v>
      </c>
      <c r="J16" s="9" t="inlineStr">
        <is>
          <t>8 (MTD)</t>
        </is>
      </c>
    </row>
    <row r="17">
      <c r="B17" s="12" t="n">
        <v>11</v>
      </c>
      <c r="C17" s="10" t="inlineStr">
        <is>
          <t>Disiplin Kerja / Fatigue / Distraksi</t>
        </is>
      </c>
      <c r="D17" s="11" t="n">
        <v>7</v>
      </c>
      <c r="E17" s="11" t="n">
        <v>17</v>
      </c>
      <c r="F17" s="11" t="n">
        <v>9</v>
      </c>
      <c r="G17" s="11" t="n">
        <v>6</v>
      </c>
      <c r="H17" s="11">
        <f>SUM(D17:G17)</f>
        <v/>
      </c>
      <c r="I17" s="18" t="n">
        <v>0.01943198804185351</v>
      </c>
      <c r="J17" s="12" t="inlineStr">
        <is>
          <t>6 (MTD)</t>
        </is>
      </c>
    </row>
    <row r="18">
      <c r="B18" s="9" t="n">
        <v>12</v>
      </c>
      <c r="C18" s="7" t="inlineStr">
        <is>
          <t>Penggunaan Alat Keselamatan</t>
        </is>
      </c>
      <c r="D18" s="8" t="n">
        <v>6</v>
      </c>
      <c r="E18" s="8" t="n">
        <v>10</v>
      </c>
      <c r="F18" s="8" t="n">
        <v>10</v>
      </c>
      <c r="G18" s="8" t="n">
        <v>6</v>
      </c>
      <c r="H18" s="8">
        <f>SUM(D18:G18)</f>
        <v/>
      </c>
      <c r="I18" s="16" t="n">
        <v>0.01594419531639263</v>
      </c>
      <c r="J18" s="9" t="inlineStr">
        <is>
          <t>6 (MTD)</t>
        </is>
      </c>
    </row>
    <row r="19">
      <c r="B19" s="15" t="inlineStr"/>
      <c r="C19" s="13" t="inlineStr">
        <is>
          <t>TOTAL TTA</t>
        </is>
      </c>
      <c r="D19" s="14">
        <f>SUM(D7:D18)</f>
        <v/>
      </c>
      <c r="E19" s="14">
        <f>SUM(E7:E18)</f>
        <v/>
      </c>
      <c r="F19" s="14">
        <f>SUM(F7:F18)</f>
        <v/>
      </c>
      <c r="G19" s="14">
        <f>SUM(G7:G18)</f>
        <v/>
      </c>
      <c r="H19" s="14">
        <f>SUM(H7:H18)</f>
        <v/>
      </c>
      <c r="I19" s="23" t="n">
        <v>1</v>
      </c>
      <c r="J19" s="15" t="inlineStr">
        <is>
          <t>MTD</t>
        </is>
      </c>
    </row>
    <row r="20"/>
    <row r="21"/>
    <row r="22">
      <c r="B22" s="5" t="inlineStr">
        <is>
          <t>B. Unsafe Condition (KTA) - 4 Bulan</t>
        </is>
      </c>
    </row>
    <row r="23">
      <c r="B23" s="6" t="inlineStr">
        <is>
          <t>No</t>
        </is>
      </c>
      <c r="C23" s="6" t="inlineStr">
        <is>
          <t>Kategori Hazard</t>
        </is>
      </c>
      <c r="D23" s="6" t="inlineStr">
        <is>
          <t>Jun 2026</t>
        </is>
      </c>
      <c r="E23" s="6" t="inlineStr">
        <is>
          <t>Jul 2026</t>
        </is>
      </c>
      <c r="F23" s="6" t="inlineStr">
        <is>
          <t>Agu 2026</t>
        </is>
      </c>
      <c r="G23" s="6" t="inlineStr">
        <is>
          <t>Sep 2026*</t>
        </is>
      </c>
      <c r="H23" s="6" t="inlineStr">
        <is>
          <t>Total 4 Bulan</t>
        </is>
      </c>
      <c r="I23" s="6" t="inlineStr">
        <is>
          <t>% Kontribusi</t>
        </is>
      </c>
      <c r="J23" s="6" t="inlineStr">
        <is>
          <t>Tren Terakhir (Agu-&gt;Sep)</t>
        </is>
      </c>
    </row>
    <row r="24">
      <c r="B24" s="9" t="n">
        <v>1</v>
      </c>
      <c r="C24" s="7" t="inlineStr">
        <is>
          <t>Kondisi Jalan</t>
        </is>
      </c>
      <c r="D24" s="8" t="n">
        <v>287</v>
      </c>
      <c r="E24" s="8" t="n">
        <v>3083</v>
      </c>
      <c r="F24" s="8" t="n">
        <v>2665</v>
      </c>
      <c r="G24" s="8" t="n">
        <v>610</v>
      </c>
      <c r="H24" s="8">
        <f>SUM(D24:G24)</f>
        <v/>
      </c>
      <c r="I24" s="16" t="n">
        <v>0.2734455372206905</v>
      </c>
      <c r="J24" s="9" t="inlineStr">
        <is>
          <t>610 (MTD)</t>
        </is>
      </c>
    </row>
    <row r="25">
      <c r="B25" s="12" t="n">
        <v>2</v>
      </c>
      <c r="C25" s="10" t="inlineStr">
        <is>
          <t>Kategori lain-lain (Umum)</t>
        </is>
      </c>
      <c r="D25" s="11" t="n">
        <v>601</v>
      </c>
      <c r="E25" s="11" t="n">
        <v>2109</v>
      </c>
      <c r="F25" s="11" t="n">
        <v>2164</v>
      </c>
      <c r="G25" s="11" t="n">
        <v>720</v>
      </c>
      <c r="H25" s="11">
        <f>SUM(D25:G25)</f>
        <v/>
      </c>
      <c r="I25" s="18" t="n">
        <v>0.2301962882185918</v>
      </c>
      <c r="J25" s="12" t="inlineStr">
        <is>
          <t>720 (MTD)</t>
        </is>
      </c>
    </row>
    <row r="26">
      <c r="B26" s="9" t="n">
        <v>3</v>
      </c>
      <c r="C26" s="7" t="inlineStr">
        <is>
          <t>Kondisi Unit &amp; P2H</t>
        </is>
      </c>
      <c r="D26" s="8" t="n">
        <v>168</v>
      </c>
      <c r="E26" s="8" t="n">
        <v>911</v>
      </c>
      <c r="F26" s="8" t="n">
        <v>1037</v>
      </c>
      <c r="G26" s="8" t="n">
        <v>316</v>
      </c>
      <c r="H26" s="8">
        <f>SUM(D26:G26)</f>
        <v/>
      </c>
      <c r="I26" s="16" t="n">
        <v>0.1000781860828772</v>
      </c>
      <c r="J26" s="9" t="inlineStr">
        <is>
          <t>316 (MTD)</t>
        </is>
      </c>
    </row>
    <row r="27">
      <c r="B27" s="12" t="n">
        <v>4</v>
      </c>
      <c r="C27" s="10" t="inlineStr">
        <is>
          <t>Rambu &amp; Traffic</t>
        </is>
      </c>
      <c r="D27" s="11" t="n">
        <v>163</v>
      </c>
      <c r="E27" s="11" t="n">
        <v>926</v>
      </c>
      <c r="F27" s="11" t="n">
        <v>863</v>
      </c>
      <c r="G27" s="11" t="n">
        <v>320</v>
      </c>
      <c r="H27" s="11">
        <f>SUM(D27:G27)</f>
        <v/>
      </c>
      <c r="I27" s="18" t="n">
        <v>0.09349409489321427</v>
      </c>
      <c r="J27" s="12" t="inlineStr">
        <is>
          <t>320 (MTD)</t>
        </is>
      </c>
    </row>
    <row r="28">
      <c r="B28" s="9" t="n">
        <v>5</v>
      </c>
      <c r="C28" s="7" t="inlineStr">
        <is>
          <t>Housekeeping &amp; 5R</t>
        </is>
      </c>
      <c r="D28" s="8" t="n">
        <v>189</v>
      </c>
      <c r="E28" s="8" t="n">
        <v>760</v>
      </c>
      <c r="F28" s="8" t="n">
        <v>852</v>
      </c>
      <c r="G28" s="8" t="n">
        <v>210</v>
      </c>
      <c r="H28" s="8">
        <f>SUM(D28:G28)</f>
        <v/>
      </c>
      <c r="I28" s="16" t="n">
        <v>0.08275379614007654</v>
      </c>
      <c r="J28" s="9" t="inlineStr">
        <is>
          <t>210 (MTD)</t>
        </is>
      </c>
    </row>
    <row r="29">
      <c r="B29" s="12" t="n">
        <v>6</v>
      </c>
      <c r="C29" s="10" t="inlineStr">
        <is>
          <t>Kelayakan Area Kerja (Front/Disposal)</t>
        </is>
      </c>
      <c r="D29" s="11" t="n">
        <v>293</v>
      </c>
      <c r="E29" s="11" t="n">
        <v>762</v>
      </c>
      <c r="F29" s="11" t="n">
        <v>653</v>
      </c>
      <c r="G29" s="11" t="n">
        <v>166</v>
      </c>
      <c r="H29" s="11">
        <f>SUM(D29:G29)</f>
        <v/>
      </c>
      <c r="I29" s="18" t="n">
        <v>0.07711616805892761</v>
      </c>
      <c r="J29" s="12" t="inlineStr">
        <is>
          <t>166 (MTD)</t>
        </is>
      </c>
    </row>
    <row r="30">
      <c r="B30" s="9" t="n">
        <v>7</v>
      </c>
      <c r="C30" s="7" t="inlineStr">
        <is>
          <t>Debu &amp; Jarak Pandang</t>
        </is>
      </c>
      <c r="D30" s="8" t="n">
        <v>133</v>
      </c>
      <c r="E30" s="8" t="n">
        <v>378</v>
      </c>
      <c r="F30" s="8" t="n">
        <v>919</v>
      </c>
      <c r="G30" s="8" t="n">
        <v>315</v>
      </c>
      <c r="H30" s="8">
        <f>SUM(D30:G30)</f>
        <v/>
      </c>
      <c r="I30" s="16" t="n">
        <v>0.07180774453726184</v>
      </c>
      <c r="J30" s="9" t="inlineStr">
        <is>
          <t>315 (MTD)</t>
        </is>
      </c>
    </row>
    <row r="31">
      <c r="B31" s="12" t="n">
        <v>8</v>
      </c>
      <c r="C31" s="10" t="inlineStr">
        <is>
          <t>Kelistrikan / Instalasi Elektrikal</t>
        </is>
      </c>
      <c r="D31" s="11" t="n">
        <v>25</v>
      </c>
      <c r="E31" s="11" t="n">
        <v>274</v>
      </c>
      <c r="F31" s="11" t="n">
        <v>234</v>
      </c>
      <c r="G31" s="11" t="n">
        <v>68</v>
      </c>
      <c r="H31" s="11">
        <f>SUM(D31:G31)</f>
        <v/>
      </c>
      <c r="I31" s="18" t="n">
        <v>0.02473149253117156</v>
      </c>
      <c r="J31" s="12" t="inlineStr">
        <is>
          <t>68 (MTD)</t>
        </is>
      </c>
    </row>
    <row r="32">
      <c r="B32" s="9" t="n">
        <v>9</v>
      </c>
      <c r="C32" s="7" t="inlineStr">
        <is>
          <t>Ceceran B3 &amp; Lingkungan</t>
        </is>
      </c>
      <c r="D32" s="8" t="n">
        <v>73</v>
      </c>
      <c r="E32" s="8" t="n">
        <v>205</v>
      </c>
      <c r="F32" s="8" t="n">
        <v>211</v>
      </c>
      <c r="G32" s="8" t="n">
        <v>66</v>
      </c>
      <c r="H32" s="8">
        <f>SUM(D32:G32)</f>
        <v/>
      </c>
      <c r="I32" s="16" t="n">
        <v>0.02283856631414345</v>
      </c>
      <c r="J32" s="9" t="inlineStr">
        <is>
          <t>66 (MTD)</t>
        </is>
      </c>
    </row>
    <row r="33">
      <c r="B33" s="12" t="n">
        <v>10</v>
      </c>
      <c r="C33" s="10" t="inlineStr">
        <is>
          <t>Objek / Benda Tidak Aman</t>
        </is>
      </c>
      <c r="D33" s="11" t="n">
        <v>88</v>
      </c>
      <c r="E33" s="11" t="n">
        <v>125</v>
      </c>
      <c r="F33" s="11" t="n">
        <v>147</v>
      </c>
      <c r="G33" s="11" t="n">
        <v>42</v>
      </c>
      <c r="H33" s="11">
        <f>SUM(D33:G33)</f>
        <v/>
      </c>
      <c r="I33" s="18" t="n">
        <v>0.01654252911402823</v>
      </c>
      <c r="J33" s="12" t="inlineStr">
        <is>
          <t>42 (MTD)</t>
        </is>
      </c>
    </row>
    <row r="34">
      <c r="B34" s="9" t="n">
        <v>11</v>
      </c>
      <c r="C34" s="7" t="inlineStr">
        <is>
          <t>Batubara Terbakar</t>
        </is>
      </c>
      <c r="D34" s="8" t="n">
        <v>0</v>
      </c>
      <c r="E34" s="8" t="n">
        <v>60</v>
      </c>
      <c r="F34" s="8" t="n">
        <v>76</v>
      </c>
      <c r="G34" s="8" t="n">
        <v>34</v>
      </c>
      <c r="H34" s="8">
        <f>SUM(D34:G34)</f>
        <v/>
      </c>
      <c r="I34" s="16" t="n">
        <v>0.006995596889016913</v>
      </c>
      <c r="J34" s="9" t="inlineStr">
        <is>
          <t>34 (MTD)</t>
        </is>
      </c>
    </row>
    <row r="35">
      <c r="B35" s="25" t="inlineStr"/>
      <c r="C35" s="26" t="inlineStr">
        <is>
          <t>TOTAL KTA</t>
        </is>
      </c>
      <c r="D35" s="27">
        <f>SUM(D24:D34)</f>
        <v/>
      </c>
      <c r="E35" s="27">
        <f>SUM(E24:E34)</f>
        <v/>
      </c>
      <c r="F35" s="27">
        <f>SUM(F24:F34)</f>
        <v/>
      </c>
      <c r="G35" s="27">
        <f>SUM(G24:G34)</f>
        <v/>
      </c>
      <c r="H35" s="27">
        <f>SUM(H24:H34)</f>
        <v/>
      </c>
      <c r="I35" s="28" t="n">
        <v>1</v>
      </c>
      <c r="J35" s="25" t="inlineStr">
        <is>
          <t>MTD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69" customWidth="1" min="2" max="2"/>
    <col width="41" customWidth="1" min="3" max="3"/>
    <col width="20" customWidth="1" min="4" max="4"/>
    <col width="24" customWidth="1" min="5" max="5"/>
    <col width="26" customWidth="1" min="6" max="6"/>
    <col width="19" customWidth="1" min="7" max="7"/>
    <col width="24" customWidth="1" min="8" max="8"/>
    <col width="30" customWidth="1" min="9" max="9"/>
  </cols>
  <sheetData>
    <row r="1"/>
    <row r="2">
      <c r="B2" s="1" t="inlineStr">
        <is>
          <t>RINGKASAN TOP 10 YTD &amp; TOP 5 MTD HAZARD REPORT</t>
        </is>
      </c>
    </row>
    <row r="3">
      <c r="B3" s="2" t="inlineStr">
        <is>
          <t>Analisis Peringkat Utama Hazard (TTA &amp; KTA) untuk Periode YTD 2026 dan Periode 3 Bulan (MTD)</t>
        </is>
      </c>
    </row>
    <row r="4"/>
    <row r="5">
      <c r="B5" s="5" t="inlineStr">
        <is>
          <t>1. TOP 10 KONDISI TIDAK AMAN (KTA) - YTD 2026</t>
        </is>
      </c>
    </row>
    <row r="6">
      <c r="B6" s="6" t="inlineStr">
        <is>
          <t>Rank</t>
        </is>
      </c>
      <c r="C6" s="6" t="inlineStr">
        <is>
          <t>Kategori Hazard KTA</t>
        </is>
      </c>
      <c r="D6" s="6" t="inlineStr">
        <is>
          <t>Total Temuan YTD</t>
        </is>
      </c>
      <c r="E6" s="6" t="inlineStr">
        <is>
          <t>% Kontribusi YTD</t>
        </is>
      </c>
      <c r="F6" s="6" t="inlineStr">
        <is>
          <t>Tingkat Resiko Dominan</t>
        </is>
      </c>
    </row>
    <row r="7">
      <c r="B7" s="12" t="inlineStr">
        <is>
          <t>#1</t>
        </is>
      </c>
      <c r="C7" s="10" t="inlineStr">
        <is>
          <t>Kondisi Jalan</t>
        </is>
      </c>
      <c r="D7" s="11" t="n">
        <v>6645</v>
      </c>
      <c r="E7" s="18" t="n">
        <v>0.2734455372206905</v>
      </c>
      <c r="F7" s="12" t="inlineStr">
        <is>
          <t>Tinggi/Kritis</t>
        </is>
      </c>
    </row>
    <row r="8">
      <c r="B8" s="9" t="inlineStr">
        <is>
          <t>#2</t>
        </is>
      </c>
      <c r="C8" s="7" t="inlineStr">
        <is>
          <t>Kategori lain-lain (Umum)</t>
        </is>
      </c>
      <c r="D8" s="8" t="n">
        <v>5594</v>
      </c>
      <c r="E8" s="16" t="n">
        <v>0.2301962882185918</v>
      </c>
      <c r="F8" s="9" t="inlineStr">
        <is>
          <t>Tinggi/Kritis</t>
        </is>
      </c>
    </row>
    <row r="9">
      <c r="B9" s="12" t="inlineStr">
        <is>
          <t>#3</t>
        </is>
      </c>
      <c r="C9" s="10" t="inlineStr">
        <is>
          <t>Kondisi Unit &amp; P2H</t>
        </is>
      </c>
      <c r="D9" s="11" t="n">
        <v>2432</v>
      </c>
      <c r="E9" s="18" t="n">
        <v>0.1000781860828772</v>
      </c>
      <c r="F9" s="12" t="inlineStr">
        <is>
          <t>Tinggi/Kritis</t>
        </is>
      </c>
    </row>
    <row r="10">
      <c r="B10" s="9" t="inlineStr">
        <is>
          <t>#4</t>
        </is>
      </c>
      <c r="C10" s="7" t="inlineStr">
        <is>
          <t>Rambu &amp; Traffic</t>
        </is>
      </c>
      <c r="D10" s="8" t="n">
        <v>2272</v>
      </c>
      <c r="E10" s="16" t="n">
        <v>0.09349409489321427</v>
      </c>
      <c r="F10" s="9" t="inlineStr">
        <is>
          <t>Sedang/Rendah</t>
        </is>
      </c>
    </row>
    <row r="11">
      <c r="B11" s="12" t="inlineStr">
        <is>
          <t>#5</t>
        </is>
      </c>
      <c r="C11" s="10" t="inlineStr">
        <is>
          <t>Housekeeping &amp; 5R</t>
        </is>
      </c>
      <c r="D11" s="11" t="n">
        <v>2011</v>
      </c>
      <c r="E11" s="18" t="n">
        <v>0.08275379614007654</v>
      </c>
      <c r="F11" s="12" t="inlineStr">
        <is>
          <t>Sedang/Rendah</t>
        </is>
      </c>
    </row>
    <row r="12">
      <c r="B12" s="9" t="inlineStr">
        <is>
          <t>#6</t>
        </is>
      </c>
      <c r="C12" s="7" t="inlineStr">
        <is>
          <t>Kelayakan Area Kerja (Front/Disposal)</t>
        </is>
      </c>
      <c r="D12" s="8" t="n">
        <v>1874</v>
      </c>
      <c r="E12" s="16" t="n">
        <v>0.07711616805892761</v>
      </c>
      <c r="F12" s="9" t="inlineStr">
        <is>
          <t>Sedang/Rendah</t>
        </is>
      </c>
    </row>
    <row r="13">
      <c r="B13" s="12" t="inlineStr">
        <is>
          <t>#7</t>
        </is>
      </c>
      <c r="C13" s="10" t="inlineStr">
        <is>
          <t>Debu &amp; Jarak Pandang</t>
        </is>
      </c>
      <c r="D13" s="11" t="n">
        <v>1745</v>
      </c>
      <c r="E13" s="18" t="n">
        <v>0.07180774453726184</v>
      </c>
      <c r="F13" s="12" t="inlineStr">
        <is>
          <t>Sedang/Rendah</t>
        </is>
      </c>
    </row>
    <row r="14">
      <c r="B14" s="9" t="inlineStr">
        <is>
          <t>#8</t>
        </is>
      </c>
      <c r="C14" s="7" t="inlineStr">
        <is>
          <t>Kelistrikan / Instalasi Elektrikal</t>
        </is>
      </c>
      <c r="D14" s="8" t="n">
        <v>601</v>
      </c>
      <c r="E14" s="16" t="n">
        <v>0.02473149253117156</v>
      </c>
      <c r="F14" s="9" t="inlineStr">
        <is>
          <t>Sedang/Rendah</t>
        </is>
      </c>
    </row>
    <row r="15">
      <c r="B15" s="12" t="inlineStr">
        <is>
          <t>#9</t>
        </is>
      </c>
      <c r="C15" s="10" t="inlineStr">
        <is>
          <t>Ceceran B3 &amp; Lingkungan</t>
        </is>
      </c>
      <c r="D15" s="11" t="n">
        <v>555</v>
      </c>
      <c r="E15" s="18" t="n">
        <v>0.02283856631414345</v>
      </c>
      <c r="F15" s="12" t="inlineStr">
        <is>
          <t>Sedang/Rendah</t>
        </is>
      </c>
    </row>
    <row r="16">
      <c r="B16" s="9" t="inlineStr">
        <is>
          <t>#10</t>
        </is>
      </c>
      <c r="C16" s="7" t="inlineStr">
        <is>
          <t>Objek / Benda Tidak Aman</t>
        </is>
      </c>
      <c r="D16" s="8" t="n">
        <v>402</v>
      </c>
      <c r="E16" s="16" t="n">
        <v>0.01654252911402823</v>
      </c>
      <c r="F16" s="9" t="inlineStr">
        <is>
          <t>Sedang/Rendah</t>
        </is>
      </c>
    </row>
    <row r="17"/>
    <row r="18"/>
    <row r="19">
      <c r="B19" s="5" t="inlineStr">
        <is>
          <t>2. TOP 10 TINDAKAN TIDAK AMAN (TTA) - YTD 2026</t>
        </is>
      </c>
    </row>
    <row r="20">
      <c r="B20" s="6" t="inlineStr">
        <is>
          <t>Rank</t>
        </is>
      </c>
      <c r="C20" s="6" t="inlineStr">
        <is>
          <t>Kategori Hazard TTA</t>
        </is>
      </c>
      <c r="D20" s="6" t="inlineStr">
        <is>
          <t>Total Temuan YTD</t>
        </is>
      </c>
      <c r="E20" s="6" t="inlineStr">
        <is>
          <t>% Kontribusi YTD</t>
        </is>
      </c>
      <c r="F20" s="6" t="inlineStr">
        <is>
          <t>Tingkat Resiko Dominan</t>
        </is>
      </c>
    </row>
    <row r="21">
      <c r="B21" s="12" t="inlineStr">
        <is>
          <t>#1</t>
        </is>
      </c>
      <c r="C21" s="10" t="inlineStr">
        <is>
          <t>Kategori lain-lain (Umum)</t>
        </is>
      </c>
      <c r="D21" s="11" t="n">
        <v>630</v>
      </c>
      <c r="E21" s="18" t="n">
        <v>0.3139013452914798</v>
      </c>
      <c r="F21" s="12" t="inlineStr">
        <is>
          <t>Tinggi/Kritis</t>
        </is>
      </c>
    </row>
    <row r="22">
      <c r="B22" s="9" t="inlineStr">
        <is>
          <t>#2</t>
        </is>
      </c>
      <c r="C22" s="7" t="inlineStr">
        <is>
          <t>Penyimpangan SOP</t>
        </is>
      </c>
      <c r="D22" s="8" t="n">
        <v>441</v>
      </c>
      <c r="E22" s="16" t="n">
        <v>0.2197309417040359</v>
      </c>
      <c r="F22" s="9" t="inlineStr">
        <is>
          <t>Tinggi/Kritis</t>
        </is>
      </c>
    </row>
    <row r="23">
      <c r="B23" s="12" t="inlineStr">
        <is>
          <t>#3</t>
        </is>
      </c>
      <c r="C23" s="10" t="inlineStr">
        <is>
          <t>APD</t>
        </is>
      </c>
      <c r="D23" s="11" t="n">
        <v>286</v>
      </c>
      <c r="E23" s="18" t="n">
        <v>0.1425012456402591</v>
      </c>
      <c r="F23" s="12" t="inlineStr">
        <is>
          <t>Tinggi/Kritis</t>
        </is>
      </c>
    </row>
    <row r="24">
      <c r="B24" s="9" t="inlineStr">
        <is>
          <t>#4</t>
        </is>
      </c>
      <c r="C24" s="7" t="inlineStr">
        <is>
          <t>Housekeeping / Kebersihan Pribadi</t>
        </is>
      </c>
      <c r="D24" s="8" t="n">
        <v>143</v>
      </c>
      <c r="E24" s="16" t="n">
        <v>0.07125062282012955</v>
      </c>
      <c r="F24" s="9" t="inlineStr">
        <is>
          <t>Sedang/Rendah</t>
        </is>
      </c>
    </row>
    <row r="25">
      <c r="B25" s="12" t="inlineStr">
        <is>
          <t>#5</t>
        </is>
      </c>
      <c r="C25" s="10" t="inlineStr">
        <is>
          <t>Posisi Kerja / Ergonomi</t>
        </is>
      </c>
      <c r="D25" s="11" t="n">
        <v>91</v>
      </c>
      <c r="E25" s="18" t="n">
        <v>0.04534130543099153</v>
      </c>
      <c r="F25" s="12" t="inlineStr">
        <is>
          <t>Sedang/Rendah</t>
        </is>
      </c>
    </row>
    <row r="26">
      <c r="B26" s="9" t="inlineStr">
        <is>
          <t>#6</t>
        </is>
      </c>
      <c r="C26" s="7" t="inlineStr">
        <is>
          <t>Kelayakan / Standard Area Kerja</t>
        </is>
      </c>
      <c r="D26" s="8" t="n">
        <v>87</v>
      </c>
      <c r="E26" s="16" t="n">
        <v>0.04334828101644245</v>
      </c>
      <c r="F26" s="9" t="inlineStr">
        <is>
          <t>Sedang/Rendah</t>
        </is>
      </c>
    </row>
    <row r="27">
      <c r="B27" s="12" t="inlineStr">
        <is>
          <t>#7</t>
        </is>
      </c>
      <c r="C27" s="10" t="inlineStr">
        <is>
          <t>Kondisi Pengoperasian di Jalan</t>
        </is>
      </c>
      <c r="D27" s="11" t="n">
        <v>86</v>
      </c>
      <c r="E27" s="18" t="n">
        <v>0.04285002491280518</v>
      </c>
      <c r="F27" s="12" t="inlineStr">
        <is>
          <t>Sedang/Rendah</t>
        </is>
      </c>
    </row>
    <row r="28">
      <c r="B28" s="9" t="inlineStr">
        <is>
          <t>#8</t>
        </is>
      </c>
      <c r="C28" s="7" t="inlineStr">
        <is>
          <t>Kepatuhan Rambu &amp; Traffic</t>
        </is>
      </c>
      <c r="D28" s="8" t="n">
        <v>63</v>
      </c>
      <c r="E28" s="16" t="n">
        <v>0.03139013452914798</v>
      </c>
      <c r="F28" s="9" t="inlineStr">
        <is>
          <t>Sedang/Rendah</t>
        </is>
      </c>
    </row>
    <row r="29">
      <c r="B29" s="12" t="inlineStr">
        <is>
          <t>#9</t>
        </is>
      </c>
      <c r="C29" s="10" t="inlineStr">
        <is>
          <t>Material Terkontaminasi / B3</t>
        </is>
      </c>
      <c r="D29" s="11" t="n">
        <v>58</v>
      </c>
      <c r="E29" s="18" t="n">
        <v>0.02889885401096164</v>
      </c>
      <c r="F29" s="12" t="inlineStr">
        <is>
          <t>Sedang/Rendah</t>
        </is>
      </c>
    </row>
    <row r="30">
      <c r="B30" s="9" t="inlineStr">
        <is>
          <t>#10</t>
        </is>
      </c>
      <c r="C30" s="7" t="inlineStr">
        <is>
          <t>Salah Penempatan Tools &amp; Peralatan</t>
        </is>
      </c>
      <c r="D30" s="8" t="n">
        <v>51</v>
      </c>
      <c r="E30" s="16" t="n">
        <v>0.02541106128550075</v>
      </c>
      <c r="F30" s="9" t="inlineStr">
        <is>
          <t>Sedang/Rendah</t>
        </is>
      </c>
    </row>
    <row r="31"/>
    <row r="32"/>
    <row r="33">
      <c r="B33" s="5" t="inlineStr">
        <is>
          <t>3. TOP 5 KONDISI TIDAK AMAN (KTA) - MTD 3 BULAN (JUNI - AGUSTUS)</t>
        </is>
      </c>
    </row>
    <row r="34">
      <c r="B34" s="6" t="inlineStr">
        <is>
          <t>Rank</t>
        </is>
      </c>
      <c r="C34" s="6" t="inlineStr">
        <is>
          <t>Kategori Hazard</t>
        </is>
      </c>
      <c r="D34" s="6" t="inlineStr">
        <is>
          <t>Jun</t>
        </is>
      </c>
      <c r="E34" s="6" t="inlineStr">
        <is>
          <t>Jul</t>
        </is>
      </c>
      <c r="F34" s="6" t="inlineStr">
        <is>
          <t>Aug</t>
        </is>
      </c>
      <c r="G34" s="6" t="inlineStr">
        <is>
          <t>Total (3 Bulan)</t>
        </is>
      </c>
      <c r="H34" s="6" t="inlineStr">
        <is>
          <t>% Kontribusi</t>
        </is>
      </c>
      <c r="I34" s="6" t="inlineStr">
        <is>
          <t>Tren Terakhir (Aug vs Jul)</t>
        </is>
      </c>
    </row>
    <row r="35">
      <c r="B35" s="12" t="inlineStr">
        <is>
          <t>#1</t>
        </is>
      </c>
      <c r="C35" s="10" t="inlineStr">
        <is>
          <t>Kondisi Jalan</t>
        </is>
      </c>
      <c r="D35" s="11" t="n">
        <v>287</v>
      </c>
      <c r="E35" s="11" t="n">
        <v>3083</v>
      </c>
      <c r="F35" s="11" t="n">
        <v>2665</v>
      </c>
      <c r="G35" s="11" t="n">
        <v>6035</v>
      </c>
      <c r="H35" s="18" t="n">
        <v>0.281562004292246</v>
      </c>
      <c r="I35" s="19" t="inlineStr">
        <is>
          <t>⬇ TURUN</t>
        </is>
      </c>
    </row>
    <row r="36">
      <c r="B36" s="9" t="inlineStr">
        <is>
          <t>#2</t>
        </is>
      </c>
      <c r="C36" s="7" t="inlineStr">
        <is>
          <t>Kategori lain-lain (Umum)</t>
        </is>
      </c>
      <c r="D36" s="8" t="n">
        <v>601</v>
      </c>
      <c r="E36" s="8" t="n">
        <v>2109</v>
      </c>
      <c r="F36" s="8" t="n">
        <v>2164</v>
      </c>
      <c r="G36" s="8" t="n">
        <v>4874</v>
      </c>
      <c r="H36" s="16" t="n">
        <v>0.2273957264159746</v>
      </c>
      <c r="I36" s="17" t="inlineStr">
        <is>
          <t>⬆ NAIK</t>
        </is>
      </c>
    </row>
    <row r="37">
      <c r="B37" s="12" t="inlineStr">
        <is>
          <t>#3</t>
        </is>
      </c>
      <c r="C37" s="10" t="inlineStr">
        <is>
          <t>Kondisi Unit &amp; P2H</t>
        </is>
      </c>
      <c r="D37" s="11" t="n">
        <v>168</v>
      </c>
      <c r="E37" s="11" t="n">
        <v>911</v>
      </c>
      <c r="F37" s="11" t="n">
        <v>1037</v>
      </c>
      <c r="G37" s="11" t="n">
        <v>2116</v>
      </c>
      <c r="H37" s="18" t="n">
        <v>0.09872165718018103</v>
      </c>
      <c r="I37" s="21" t="inlineStr">
        <is>
          <t>⬆ NAIK</t>
        </is>
      </c>
    </row>
    <row r="38">
      <c r="B38" s="9" t="inlineStr">
        <is>
          <t>#4</t>
        </is>
      </c>
      <c r="C38" s="7" t="inlineStr">
        <is>
          <t>Rambu &amp; Traffic</t>
        </is>
      </c>
      <c r="D38" s="8" t="n">
        <v>163</v>
      </c>
      <c r="E38" s="8" t="n">
        <v>926</v>
      </c>
      <c r="F38" s="8" t="n">
        <v>863</v>
      </c>
      <c r="G38" s="8" t="n">
        <v>1952</v>
      </c>
      <c r="H38" s="16" t="n">
        <v>0.0910702622002426</v>
      </c>
      <c r="I38" s="20" t="inlineStr">
        <is>
          <t>⬇ TURUN</t>
        </is>
      </c>
    </row>
    <row r="39">
      <c r="B39" s="12" t="inlineStr">
        <is>
          <t>#5</t>
        </is>
      </c>
      <c r="C39" s="10" t="inlineStr">
        <is>
          <t>Housekeeping &amp; 5R</t>
        </is>
      </c>
      <c r="D39" s="11" t="n">
        <v>189</v>
      </c>
      <c r="E39" s="11" t="n">
        <v>760</v>
      </c>
      <c r="F39" s="11" t="n">
        <v>852</v>
      </c>
      <c r="G39" s="11" t="n">
        <v>1801</v>
      </c>
      <c r="H39" s="18" t="n">
        <v>0.08402538023700662</v>
      </c>
      <c r="I39" s="21" t="inlineStr">
        <is>
          <t>⬆ NAIK</t>
        </is>
      </c>
    </row>
    <row r="40"/>
    <row r="41"/>
    <row r="42">
      <c r="B42" s="5" t="inlineStr">
        <is>
          <t>4. TOP 5 TINDAKAN TIDAK AMAN (TTA) - MTD 3 BULAN (JUNI - AGUSTUS)</t>
        </is>
      </c>
    </row>
    <row r="43">
      <c r="B43" s="6" t="inlineStr">
        <is>
          <t>Rank</t>
        </is>
      </c>
      <c r="C43" s="6" t="inlineStr">
        <is>
          <t>Kategori Hazard</t>
        </is>
      </c>
      <c r="D43" s="6" t="inlineStr">
        <is>
          <t>Jun</t>
        </is>
      </c>
      <c r="E43" s="6" t="inlineStr">
        <is>
          <t>Jul</t>
        </is>
      </c>
      <c r="F43" s="6" t="inlineStr">
        <is>
          <t>Aug</t>
        </is>
      </c>
      <c r="G43" s="6" t="inlineStr">
        <is>
          <t>Total (3 Bulan)</t>
        </is>
      </c>
      <c r="H43" s="6" t="inlineStr">
        <is>
          <t>% Kontribusi</t>
        </is>
      </c>
      <c r="I43" s="6" t="inlineStr">
        <is>
          <t>Tren Terakhir (Aug vs Jul)</t>
        </is>
      </c>
    </row>
    <row r="44">
      <c r="B44" s="9" t="inlineStr">
        <is>
          <t>#1</t>
        </is>
      </c>
      <c r="C44" s="7" t="inlineStr">
        <is>
          <t>Kategori lain-lain (Umum)</t>
        </is>
      </c>
      <c r="D44" s="8" t="n">
        <v>68</v>
      </c>
      <c r="E44" s="8" t="n">
        <v>220</v>
      </c>
      <c r="F44" s="8" t="n">
        <v>246</v>
      </c>
      <c r="G44" s="8" t="n">
        <v>534</v>
      </c>
      <c r="H44" s="16" t="n">
        <v>0.3108265424912689</v>
      </c>
      <c r="I44" s="17" t="inlineStr">
        <is>
          <t>⬆ NAIK</t>
        </is>
      </c>
    </row>
    <row r="45">
      <c r="B45" s="12" t="inlineStr">
        <is>
          <t>#2</t>
        </is>
      </c>
      <c r="C45" s="10" t="inlineStr">
        <is>
          <t>Penyimpangan SOP</t>
        </is>
      </c>
      <c r="D45" s="11" t="n">
        <v>16</v>
      </c>
      <c r="E45" s="11" t="n">
        <v>190</v>
      </c>
      <c r="F45" s="11" t="n">
        <v>184</v>
      </c>
      <c r="G45" s="11" t="n">
        <v>390</v>
      </c>
      <c r="H45" s="18" t="n">
        <v>0.2270081490104773</v>
      </c>
      <c r="I45" s="19" t="inlineStr">
        <is>
          <t>⬇ TURUN</t>
        </is>
      </c>
    </row>
    <row r="46">
      <c r="B46" s="9" t="inlineStr">
        <is>
          <t>#3</t>
        </is>
      </c>
      <c r="C46" s="7" t="inlineStr">
        <is>
          <t>APD</t>
        </is>
      </c>
      <c r="D46" s="8" t="n">
        <v>2</v>
      </c>
      <c r="E46" s="8" t="n">
        <v>111</v>
      </c>
      <c r="F46" s="8" t="n">
        <v>129</v>
      </c>
      <c r="G46" s="8" t="n">
        <v>242</v>
      </c>
      <c r="H46" s="16" t="n">
        <v>0.1408614668218859</v>
      </c>
      <c r="I46" s="17" t="inlineStr">
        <is>
          <t>⬆ NAIK</t>
        </is>
      </c>
    </row>
    <row r="47">
      <c r="B47" s="12" t="inlineStr">
        <is>
          <t>#4</t>
        </is>
      </c>
      <c r="C47" s="10" t="inlineStr">
        <is>
          <t>Housekeeping / Kebersihan Pribadi</t>
        </is>
      </c>
      <c r="D47" s="11" t="n">
        <v>13</v>
      </c>
      <c r="E47" s="11" t="n">
        <v>51</v>
      </c>
      <c r="F47" s="11" t="n">
        <v>49</v>
      </c>
      <c r="G47" s="11" t="n">
        <v>113</v>
      </c>
      <c r="H47" s="18" t="n">
        <v>0.06577415599534342</v>
      </c>
      <c r="I47" s="19" t="inlineStr">
        <is>
          <t>⬇ TURUN</t>
        </is>
      </c>
    </row>
    <row r="48">
      <c r="B48" s="9" t="inlineStr">
        <is>
          <t>#5</t>
        </is>
      </c>
      <c r="C48" s="7" t="inlineStr">
        <is>
          <t>Posisi Kerja / Ergonomi</t>
        </is>
      </c>
      <c r="D48" s="8" t="n">
        <v>8</v>
      </c>
      <c r="E48" s="8" t="n">
        <v>44</v>
      </c>
      <c r="F48" s="8" t="n">
        <v>34</v>
      </c>
      <c r="G48" s="8" t="n">
        <v>86</v>
      </c>
      <c r="H48" s="16" t="n">
        <v>0.05005820721769499</v>
      </c>
      <c r="I48" s="20" t="inlineStr">
        <is>
          <t>⬇ TURUN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2026-09-09T06:35:04Z</dcterms:created>
  <dcterms:modified xmlns:dcterms="http://purl.org/dc/terms/" xmlns:xsi="http://www.w3.org/2001/XMLSchema-instance" xsi:type="dcterms:W3CDTF">2026-09-09T06:35:04Z</dcterms:modified>
</cp:coreProperties>
</file>